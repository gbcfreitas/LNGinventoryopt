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gabriela.freitas\Repositorios\LNGinventoryopt\saidas\"/>
    </mc:Choice>
  </mc:AlternateContent>
  <xr:revisionPtr revIDLastSave="0" documentId="13_ncr:1_{94605F17-7DF3-4E9A-9DE3-A93BB9568562}" xr6:coauthVersionLast="47" xr6:coauthVersionMax="47" xr10:uidLastSave="{00000000-0000-0000-0000-000000000000}"/>
  <bookViews>
    <workbookView xWindow="-38520" yWindow="-120" windowWidth="386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6" i="1" l="1"/>
  <c r="E14" i="1"/>
  <c r="E12" i="1"/>
  <c r="E10" i="1"/>
  <c r="E8" i="1"/>
  <c r="E6" i="1"/>
  <c r="E4" i="1"/>
</calcChain>
</file>

<file path=xl/sharedStrings.xml><?xml version="1.0" encoding="utf-8"?>
<sst xmlns="http://schemas.openxmlformats.org/spreadsheetml/2006/main" count="129" uniqueCount="50">
  <si>
    <t>run_id</t>
  </si>
  <si>
    <t>status</t>
  </si>
  <si>
    <t>solution_time</t>
  </si>
  <si>
    <t>objective_value</t>
  </si>
  <si>
    <t>NOME</t>
  </si>
  <si>
    <t>NO_BOG</t>
  </si>
  <si>
    <t>BOG_CTE</t>
  </si>
  <si>
    <t>BOG_VAR</t>
  </si>
  <si>
    <t>LOCK_POLICY</t>
  </si>
  <si>
    <t>CAPCOST</t>
  </si>
  <si>
    <t>CAPCOST_VALUE</t>
  </si>
  <si>
    <t>SOLVER</t>
  </si>
  <si>
    <t>CAPCOST_TAX</t>
  </si>
  <si>
    <t>CAPCOST_PRICE</t>
  </si>
  <si>
    <t>CAPCOST_version</t>
  </si>
  <si>
    <t>TIMELIMIT</t>
  </si>
  <si>
    <t>RUN</t>
  </si>
  <si>
    <t>custo_fixo</t>
  </si>
  <si>
    <t>custo_spot</t>
  </si>
  <si>
    <t>custo_lcp</t>
  </si>
  <si>
    <t>custo_demurrage</t>
  </si>
  <si>
    <t>custo_top</t>
  </si>
  <si>
    <t>custo_cap</t>
  </si>
  <si>
    <t>custo_total</t>
  </si>
  <si>
    <t>1</t>
  </si>
  <si>
    <t>Solução ótima encontrada</t>
  </si>
  <si>
    <t>Cen1</t>
  </si>
  <si>
    <t>CPLEX_CMD</t>
  </si>
  <si>
    <t>V2</t>
  </si>
  <si>
    <t>2</t>
  </si>
  <si>
    <t>3</t>
  </si>
  <si>
    <t>4</t>
  </si>
  <si>
    <t>5</t>
  </si>
  <si>
    <t>6</t>
  </si>
  <si>
    <t>V1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</si>
  <si>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</si>
  <si>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</si>
  <si>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</si>
  <si>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</si>
  <si>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</si>
  <si>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</si>
  <si>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</si>
  <si>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</si>
  <si>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</si>
  <si>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</si>
  <si>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20</t>
  </si>
  <si>
    <t>21</t>
  </si>
  <si>
    <t>Diferença</t>
  </si>
  <si>
    <t>SELIC</t>
  </si>
  <si>
    <t>WACC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</si>
</sst>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43" fontId="1" fillId="0" borderId="1" xfId="1" applyFont="1" applyBorder="1" applyAlignment="1">
      <alignment horizontal="center" vertical="top"/>
    </xf>
    <xf numFmtId="43" fontId="0" fillId="0" borderId="0" xfId="1" applyFont="1"/>
    <xf numFmtId="2" fontId="0" fillId="0" borderId="0" xfId="0" applyNumberFormat="1"/>
  </cellXfs>
  <cellStyles count="2">
    <cellStyle name="Normal" xfId="0" builtinId="0"/>
    <cellStyle name="Vírgula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9"/>
  <sheetViews>
    <sheetView tabSelected="1" workbookViewId="0">
      <selection sqref="A1:P16"/>
    </sheetView>
  </sheetViews>
  <sheetFormatPr defaultRowHeight="14.5" x14ac:dyDescent="0.35"/>
  <cols>
    <col min="1" max="1" width="8.7265625" customWidth="1"/>
    <col min="2" max="2" width="0" hidden="1" customWidth="1"/>
    <col min="3" max="3" width="13.453125" bestFit="1" customWidth="1"/>
    <col min="4" max="4" width="16.08984375" style="3" bestFit="1" customWidth="1"/>
    <col min="5" max="5" width="14.54296875" style="3" customWidth="1"/>
    <col min="7" max="9" width="11.81640625" bestFit="1" customWidth="1"/>
    <col min="10" max="10" width="12.26953125" bestFit="1" customWidth="1"/>
    <col min="11" max="11" width="11.81640625" bestFit="1" customWidth="1"/>
    <col min="12" max="13" width="0" hidden="1" customWidth="1"/>
    <col min="14" max="14" width="15.81640625" customWidth="1"/>
    <col min="15" max="15" width="15.54296875" customWidth="1"/>
    <col min="19" max="19" width="9.81640625" bestFit="1" customWidth="1"/>
    <col min="20" max="20" width="11.81640625" bestFit="1" customWidth="1"/>
    <col min="21" max="21" width="9.81640625" bestFit="1" customWidth="1"/>
    <col min="22" max="22" width="15.81640625" bestFit="1" customWidth="1"/>
  </cols>
  <sheetData>
    <row r="1" spans="1:25" x14ac:dyDescent="0.35">
      <c r="A1" s="1" t="s">
        <v>0</v>
      </c>
      <c r="B1" s="1" t="s">
        <v>1</v>
      </c>
      <c r="C1" s="1" t="s">
        <v>2</v>
      </c>
      <c r="D1" s="2" t="s">
        <v>3</v>
      </c>
      <c r="E1" s="2" t="s">
        <v>47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</row>
    <row r="2" spans="1:25" x14ac:dyDescent="0.35">
      <c r="A2" s="1" t="s">
        <v>24</v>
      </c>
      <c r="B2" t="s">
        <v>25</v>
      </c>
      <c r="C2" s="4">
        <v>0.67956352233886719</v>
      </c>
      <c r="D2" s="3">
        <v>1049465920.6</v>
      </c>
      <c r="F2" t="s">
        <v>26</v>
      </c>
      <c r="G2" t="b">
        <v>1</v>
      </c>
      <c r="H2" t="b">
        <v>0</v>
      </c>
      <c r="I2" t="b">
        <v>0</v>
      </c>
      <c r="J2" t="b">
        <v>0</v>
      </c>
      <c r="K2" t="b">
        <v>0</v>
      </c>
      <c r="M2" t="s">
        <v>27</v>
      </c>
      <c r="N2" t="s">
        <v>49</v>
      </c>
      <c r="O2">
        <v>812</v>
      </c>
      <c r="P2" t="s">
        <v>28</v>
      </c>
      <c r="Q2">
        <v>10800</v>
      </c>
      <c r="R2">
        <v>1</v>
      </c>
      <c r="S2">
        <v>118374400</v>
      </c>
      <c r="T2">
        <v>270804480.60000002</v>
      </c>
      <c r="U2">
        <v>618856000</v>
      </c>
      <c r="V2">
        <v>41431040</v>
      </c>
      <c r="W2">
        <v>0</v>
      </c>
      <c r="X2">
        <v>0</v>
      </c>
      <c r="Y2">
        <v>1049465920.6</v>
      </c>
    </row>
    <row r="3" spans="1:25" x14ac:dyDescent="0.35">
      <c r="A3" s="1" t="s">
        <v>29</v>
      </c>
      <c r="B3" t="s">
        <v>25</v>
      </c>
      <c r="C3" s="4">
        <v>2.1885004043579102</v>
      </c>
      <c r="D3" s="3">
        <v>1069757920.6</v>
      </c>
      <c r="F3" t="s">
        <v>26</v>
      </c>
      <c r="G3" t="b">
        <v>0</v>
      </c>
      <c r="H3" t="b">
        <v>1</v>
      </c>
      <c r="I3" t="b">
        <v>0</v>
      </c>
      <c r="J3" t="b">
        <v>0</v>
      </c>
      <c r="K3" t="b">
        <v>0</v>
      </c>
      <c r="M3" t="s">
        <v>27</v>
      </c>
      <c r="N3" t="s">
        <v>49</v>
      </c>
      <c r="O3">
        <v>812</v>
      </c>
      <c r="P3" t="s">
        <v>28</v>
      </c>
      <c r="Q3">
        <v>10800</v>
      </c>
      <c r="R3">
        <v>2</v>
      </c>
      <c r="S3">
        <v>118374400</v>
      </c>
      <c r="T3">
        <v>291096480.60000002</v>
      </c>
      <c r="U3">
        <v>618856000</v>
      </c>
      <c r="V3">
        <v>41431040</v>
      </c>
      <c r="W3">
        <v>0</v>
      </c>
      <c r="X3">
        <v>0</v>
      </c>
      <c r="Y3">
        <v>1069757920.6</v>
      </c>
    </row>
    <row r="4" spans="1:25" x14ac:dyDescent="0.35">
      <c r="A4" s="1" t="s">
        <v>30</v>
      </c>
      <c r="B4" t="s">
        <v>25</v>
      </c>
      <c r="C4" s="4">
        <v>0.70624589920043945</v>
      </c>
      <c r="D4" s="3">
        <v>1069757920.6</v>
      </c>
      <c r="E4" s="3">
        <f>D4-D3</f>
        <v>0</v>
      </c>
      <c r="F4" t="s">
        <v>26</v>
      </c>
      <c r="G4" t="b">
        <v>0</v>
      </c>
      <c r="H4" t="b">
        <v>1</v>
      </c>
      <c r="I4" t="b">
        <v>0</v>
      </c>
      <c r="J4" t="b">
        <v>1</v>
      </c>
      <c r="K4" t="b">
        <v>0</v>
      </c>
      <c r="M4" t="s">
        <v>27</v>
      </c>
      <c r="N4" t="s">
        <v>49</v>
      </c>
      <c r="O4">
        <v>812</v>
      </c>
      <c r="P4" t="s">
        <v>28</v>
      </c>
      <c r="Q4">
        <v>10800</v>
      </c>
      <c r="R4">
        <v>3</v>
      </c>
      <c r="S4">
        <v>118374400</v>
      </c>
      <c r="T4">
        <v>291096480.60000002</v>
      </c>
      <c r="U4">
        <v>618856000</v>
      </c>
      <c r="V4">
        <v>41431040</v>
      </c>
      <c r="W4">
        <v>0</v>
      </c>
      <c r="X4">
        <v>0</v>
      </c>
      <c r="Y4">
        <v>1069757920.6</v>
      </c>
    </row>
    <row r="5" spans="1:25" x14ac:dyDescent="0.35">
      <c r="A5" s="1" t="s">
        <v>31</v>
      </c>
      <c r="B5" t="s">
        <v>25</v>
      </c>
      <c r="C5" s="4">
        <v>21.864239454269409</v>
      </c>
      <c r="D5" s="3">
        <v>1075635634.0144</v>
      </c>
      <c r="F5" t="s">
        <v>26</v>
      </c>
      <c r="G5" t="b">
        <v>0</v>
      </c>
      <c r="H5" t="b">
        <v>0</v>
      </c>
      <c r="I5" t="b">
        <v>1</v>
      </c>
      <c r="J5" t="b">
        <v>0</v>
      </c>
      <c r="K5" t="b">
        <v>0</v>
      </c>
      <c r="M5" t="s">
        <v>27</v>
      </c>
      <c r="N5" t="s">
        <v>49</v>
      </c>
      <c r="O5">
        <v>812</v>
      </c>
      <c r="P5" t="s">
        <v>28</v>
      </c>
      <c r="Q5">
        <v>10800</v>
      </c>
      <c r="R5">
        <v>4</v>
      </c>
      <c r="S5">
        <v>118374400</v>
      </c>
      <c r="T5">
        <v>296974194.01440048</v>
      </c>
      <c r="U5">
        <v>618856000</v>
      </c>
      <c r="V5">
        <v>41431039.999999963</v>
      </c>
      <c r="W5">
        <v>0</v>
      </c>
      <c r="X5">
        <v>0</v>
      </c>
      <c r="Y5">
        <v>1075635634.0144</v>
      </c>
    </row>
    <row r="6" spans="1:25" x14ac:dyDescent="0.35">
      <c r="A6" s="1" t="s">
        <v>32</v>
      </c>
      <c r="B6" t="s">
        <v>25</v>
      </c>
      <c r="C6" s="4">
        <v>0.44820952415466309</v>
      </c>
      <c r="D6" s="3">
        <v>1076235121.4368</v>
      </c>
      <c r="E6" s="3">
        <f>D6-D5</f>
        <v>599487.42239999771</v>
      </c>
      <c r="F6" t="s">
        <v>26</v>
      </c>
      <c r="G6" t="b">
        <v>0</v>
      </c>
      <c r="H6" t="b">
        <v>0</v>
      </c>
      <c r="I6" t="b">
        <v>1</v>
      </c>
      <c r="J6" t="b">
        <v>1</v>
      </c>
      <c r="K6" t="b">
        <v>0</v>
      </c>
      <c r="M6" t="s">
        <v>27</v>
      </c>
      <c r="N6" t="s">
        <v>49</v>
      </c>
      <c r="O6">
        <v>812</v>
      </c>
      <c r="P6" t="s">
        <v>28</v>
      </c>
      <c r="Q6">
        <v>10800</v>
      </c>
      <c r="R6">
        <v>5</v>
      </c>
      <c r="S6">
        <v>118374400</v>
      </c>
      <c r="T6">
        <v>297573681.43680048</v>
      </c>
      <c r="U6">
        <v>618856000</v>
      </c>
      <c r="V6">
        <v>41431040</v>
      </c>
      <c r="W6">
        <v>0</v>
      </c>
      <c r="X6">
        <v>0</v>
      </c>
      <c r="Y6">
        <v>1076235121.4368</v>
      </c>
    </row>
    <row r="7" spans="1:25" x14ac:dyDescent="0.35">
      <c r="A7" s="1" t="s">
        <v>33</v>
      </c>
      <c r="B7" t="s">
        <v>25</v>
      </c>
      <c r="C7" s="4">
        <v>1.078943729400635</v>
      </c>
      <c r="D7" s="3">
        <v>1055089640.779784</v>
      </c>
      <c r="F7" t="s">
        <v>26</v>
      </c>
      <c r="G7" t="b">
        <v>1</v>
      </c>
      <c r="H7" t="b">
        <v>0</v>
      </c>
      <c r="I7" t="b">
        <v>0</v>
      </c>
      <c r="J7" t="b">
        <v>0</v>
      </c>
      <c r="K7" t="b">
        <v>1</v>
      </c>
      <c r="M7" t="s">
        <v>27</v>
      </c>
      <c r="N7" t="s">
        <v>49</v>
      </c>
      <c r="O7">
        <v>812</v>
      </c>
      <c r="P7" t="s">
        <v>34</v>
      </c>
      <c r="Q7">
        <v>10800</v>
      </c>
      <c r="R7">
        <v>6</v>
      </c>
      <c r="S7">
        <v>118374400</v>
      </c>
      <c r="T7">
        <v>270804480.60000002</v>
      </c>
      <c r="U7">
        <v>618856000</v>
      </c>
      <c r="V7">
        <v>41431040</v>
      </c>
      <c r="W7">
        <v>0</v>
      </c>
    </row>
    <row r="8" spans="1:25" x14ac:dyDescent="0.35">
      <c r="A8" s="1" t="s">
        <v>35</v>
      </c>
      <c r="B8" t="s">
        <v>25</v>
      </c>
      <c r="C8" s="4">
        <v>0.32157778739929199</v>
      </c>
      <c r="D8" s="3">
        <v>1055319579.560021</v>
      </c>
      <c r="E8" s="3">
        <f>D8-D7</f>
        <v>229938.78023707867</v>
      </c>
      <c r="F8" t="s">
        <v>26</v>
      </c>
      <c r="G8" t="b">
        <v>1</v>
      </c>
      <c r="H8" t="b">
        <v>0</v>
      </c>
      <c r="I8" t="b">
        <v>0</v>
      </c>
      <c r="J8" t="b">
        <v>1</v>
      </c>
      <c r="K8" t="b">
        <v>1</v>
      </c>
      <c r="M8" t="s">
        <v>27</v>
      </c>
      <c r="N8" t="s">
        <v>49</v>
      </c>
      <c r="O8">
        <v>812</v>
      </c>
      <c r="P8" t="s">
        <v>34</v>
      </c>
      <c r="Q8">
        <v>10800</v>
      </c>
      <c r="R8">
        <v>7</v>
      </c>
      <c r="S8">
        <v>118374400</v>
      </c>
      <c r="T8">
        <v>270804480.60000002</v>
      </c>
      <c r="U8">
        <v>618856000</v>
      </c>
      <c r="V8">
        <v>41431040</v>
      </c>
      <c r="W8">
        <v>0</v>
      </c>
    </row>
    <row r="9" spans="1:25" x14ac:dyDescent="0.35">
      <c r="A9" s="1" t="s">
        <v>36</v>
      </c>
      <c r="B9" t="s">
        <v>25</v>
      </c>
      <c r="C9" s="4">
        <v>1.053180932998657</v>
      </c>
      <c r="D9" s="3">
        <v>1058041039.798725</v>
      </c>
      <c r="F9" t="s">
        <v>26</v>
      </c>
      <c r="G9" t="b">
        <v>1</v>
      </c>
      <c r="H9" t="b">
        <v>0</v>
      </c>
      <c r="I9" t="b">
        <v>0</v>
      </c>
      <c r="J9" t="b">
        <v>0</v>
      </c>
      <c r="K9" t="b">
        <v>1</v>
      </c>
      <c r="M9" t="s">
        <v>27</v>
      </c>
      <c r="N9" t="s">
        <v>48</v>
      </c>
      <c r="O9">
        <v>812</v>
      </c>
      <c r="P9" t="s">
        <v>34</v>
      </c>
      <c r="Q9">
        <v>10800</v>
      </c>
      <c r="R9">
        <v>8</v>
      </c>
      <c r="S9">
        <v>118374400</v>
      </c>
      <c r="T9">
        <v>270804480.60000002</v>
      </c>
      <c r="U9">
        <v>618856000</v>
      </c>
      <c r="V9">
        <v>41431040</v>
      </c>
      <c r="W9">
        <v>0</v>
      </c>
    </row>
    <row r="10" spans="1:25" x14ac:dyDescent="0.35">
      <c r="A10" s="1" t="s">
        <v>37</v>
      </c>
      <c r="B10" t="s">
        <v>25</v>
      </c>
      <c r="C10" s="4">
        <v>0.40583300590515142</v>
      </c>
      <c r="D10" s="3">
        <v>1058391653.3402801</v>
      </c>
      <c r="E10" s="3">
        <f>D10-D9</f>
        <v>350613.54155504704</v>
      </c>
      <c r="F10" t="s">
        <v>26</v>
      </c>
      <c r="G10" t="b">
        <v>1</v>
      </c>
      <c r="H10" t="b">
        <v>0</v>
      </c>
      <c r="I10" t="b">
        <v>0</v>
      </c>
      <c r="J10" t="b">
        <v>1</v>
      </c>
      <c r="K10" t="b">
        <v>1</v>
      </c>
      <c r="M10" t="s">
        <v>27</v>
      </c>
      <c r="N10" t="s">
        <v>48</v>
      </c>
      <c r="O10">
        <v>812</v>
      </c>
      <c r="P10" t="s">
        <v>34</v>
      </c>
      <c r="Q10">
        <v>10800</v>
      </c>
      <c r="R10">
        <v>9</v>
      </c>
      <c r="S10">
        <v>118374400</v>
      </c>
      <c r="T10">
        <v>270804480.60000002</v>
      </c>
      <c r="U10">
        <v>618856000</v>
      </c>
      <c r="V10">
        <v>41431040</v>
      </c>
      <c r="W10">
        <v>0</v>
      </c>
    </row>
    <row r="11" spans="1:25" x14ac:dyDescent="0.35">
      <c r="A11" s="1" t="s">
        <v>38</v>
      </c>
      <c r="B11" t="s">
        <v>25</v>
      </c>
      <c r="C11" s="4">
        <v>0.62115216255187988</v>
      </c>
      <c r="D11" s="3">
        <v>1055273205.003962</v>
      </c>
      <c r="F11" t="s">
        <v>26</v>
      </c>
      <c r="G11" t="b">
        <v>1</v>
      </c>
      <c r="H11" t="b">
        <v>0</v>
      </c>
      <c r="I11" t="b">
        <v>0</v>
      </c>
      <c r="J11" t="b">
        <v>0</v>
      </c>
      <c r="K11" t="b">
        <v>1</v>
      </c>
      <c r="M11" t="s">
        <v>27</v>
      </c>
      <c r="N11" t="s">
        <v>49</v>
      </c>
      <c r="O11">
        <v>812</v>
      </c>
      <c r="P11" t="s">
        <v>28</v>
      </c>
      <c r="Q11">
        <v>10800</v>
      </c>
      <c r="R11">
        <v>10</v>
      </c>
      <c r="S11">
        <v>118374400</v>
      </c>
      <c r="T11">
        <v>270804480.60000002</v>
      </c>
      <c r="U11">
        <v>618856000</v>
      </c>
      <c r="V11">
        <v>41431040</v>
      </c>
      <c r="W11">
        <v>0</v>
      </c>
    </row>
    <row r="12" spans="1:25" x14ac:dyDescent="0.35">
      <c r="A12" s="1" t="s">
        <v>39</v>
      </c>
      <c r="B12" t="s">
        <v>25</v>
      </c>
      <c r="C12" s="4">
        <v>0.44658923149108892</v>
      </c>
      <c r="D12" s="3">
        <v>1055517048.177653</v>
      </c>
      <c r="E12" s="3">
        <f>D12-D11</f>
        <v>243843.17369091511</v>
      </c>
      <c r="F12" t="s">
        <v>26</v>
      </c>
      <c r="G12" t="b">
        <v>1</v>
      </c>
      <c r="H12" t="b">
        <v>0</v>
      </c>
      <c r="I12" t="b">
        <v>0</v>
      </c>
      <c r="J12" t="b">
        <v>1</v>
      </c>
      <c r="K12" t="b">
        <v>1</v>
      </c>
      <c r="M12" t="s">
        <v>27</v>
      </c>
      <c r="N12" t="s">
        <v>49</v>
      </c>
      <c r="O12">
        <v>812</v>
      </c>
      <c r="P12" t="s">
        <v>28</v>
      </c>
      <c r="Q12">
        <v>10800</v>
      </c>
      <c r="R12">
        <v>11</v>
      </c>
      <c r="S12">
        <v>118374400</v>
      </c>
      <c r="T12">
        <v>270804480.60000002</v>
      </c>
      <c r="U12">
        <v>618856000</v>
      </c>
      <c r="V12">
        <v>41431040</v>
      </c>
      <c r="W12">
        <v>0</v>
      </c>
    </row>
    <row r="13" spans="1:25" x14ac:dyDescent="0.35">
      <c r="A13" s="1" t="s">
        <v>40</v>
      </c>
      <c r="B13" t="s">
        <v>25</v>
      </c>
      <c r="C13" s="4">
        <v>16.625168561935421</v>
      </c>
      <c r="D13" s="3">
        <v>1082242809.412405</v>
      </c>
      <c r="F13" t="s">
        <v>26</v>
      </c>
      <c r="G13" t="b">
        <v>0</v>
      </c>
      <c r="H13" t="b">
        <v>0</v>
      </c>
      <c r="I13" t="b">
        <v>1</v>
      </c>
      <c r="J13" t="b">
        <v>0</v>
      </c>
      <c r="K13" t="b">
        <v>1</v>
      </c>
      <c r="M13" t="s">
        <v>27</v>
      </c>
      <c r="N13" t="s">
        <v>49</v>
      </c>
      <c r="O13">
        <v>812</v>
      </c>
      <c r="P13" t="s">
        <v>28</v>
      </c>
      <c r="Q13">
        <v>10800</v>
      </c>
      <c r="R13">
        <v>12</v>
      </c>
      <c r="S13">
        <v>118374399.9999975</v>
      </c>
      <c r="T13">
        <v>296974194.01440048</v>
      </c>
      <c r="U13">
        <v>618856000</v>
      </c>
      <c r="V13">
        <v>41431040</v>
      </c>
      <c r="W13">
        <v>0</v>
      </c>
    </row>
    <row r="14" spans="1:25" x14ac:dyDescent="0.35">
      <c r="A14" s="1" t="s">
        <v>41</v>
      </c>
      <c r="B14" t="s">
        <v>25</v>
      </c>
      <c r="C14" s="4">
        <v>0.7278592586517334</v>
      </c>
      <c r="D14" s="3">
        <v>1082986250.744087</v>
      </c>
      <c r="E14" s="3">
        <f>D14-D13</f>
        <v>743441.33168196678</v>
      </c>
      <c r="F14" t="s">
        <v>26</v>
      </c>
      <c r="G14" t="b">
        <v>0</v>
      </c>
      <c r="H14" t="b">
        <v>0</v>
      </c>
      <c r="I14" t="b">
        <v>1</v>
      </c>
      <c r="J14" t="b">
        <v>1</v>
      </c>
      <c r="K14" t="b">
        <v>1</v>
      </c>
      <c r="M14" t="s">
        <v>27</v>
      </c>
      <c r="N14" t="s">
        <v>49</v>
      </c>
      <c r="O14">
        <v>812</v>
      </c>
      <c r="P14" t="s">
        <v>28</v>
      </c>
      <c r="Q14">
        <v>10800</v>
      </c>
      <c r="R14">
        <v>13</v>
      </c>
      <c r="S14">
        <v>118374400</v>
      </c>
      <c r="T14">
        <v>297573681.43680048</v>
      </c>
      <c r="U14">
        <v>618856000</v>
      </c>
      <c r="V14">
        <v>41431040</v>
      </c>
      <c r="W14">
        <v>0</v>
      </c>
    </row>
    <row r="15" spans="1:25" x14ac:dyDescent="0.35">
      <c r="A15" s="1" t="s">
        <v>42</v>
      </c>
      <c r="B15" t="s">
        <v>25</v>
      </c>
      <c r="C15" s="4">
        <v>11.04987764358521</v>
      </c>
      <c r="D15" s="3">
        <v>1081383351.3770101</v>
      </c>
      <c r="F15" t="s">
        <v>26</v>
      </c>
      <c r="G15" t="b">
        <v>0</v>
      </c>
      <c r="H15" t="b">
        <v>0</v>
      </c>
      <c r="I15" t="b">
        <v>1</v>
      </c>
      <c r="J15" t="b">
        <v>0</v>
      </c>
      <c r="K15" t="b">
        <v>1</v>
      </c>
      <c r="M15" t="s">
        <v>27</v>
      </c>
      <c r="N15" t="s">
        <v>49</v>
      </c>
      <c r="O15">
        <v>812</v>
      </c>
      <c r="P15" t="s">
        <v>34</v>
      </c>
      <c r="Q15">
        <v>10800</v>
      </c>
      <c r="R15">
        <v>14</v>
      </c>
      <c r="S15">
        <v>118374400</v>
      </c>
      <c r="T15">
        <v>296974194.01440048</v>
      </c>
      <c r="U15">
        <v>618856000</v>
      </c>
      <c r="V15">
        <v>41431040</v>
      </c>
      <c r="W15">
        <v>0</v>
      </c>
    </row>
    <row r="16" spans="1:25" x14ac:dyDescent="0.35">
      <c r="A16" s="1" t="s">
        <v>43</v>
      </c>
      <c r="B16" t="s">
        <v>25</v>
      </c>
      <c r="C16" s="4">
        <v>0.3813624382019043</v>
      </c>
      <c r="D16" s="3">
        <v>1082100889.40641</v>
      </c>
      <c r="E16" s="3">
        <f>D16-D15</f>
        <v>717538.02939987183</v>
      </c>
      <c r="F16" t="s">
        <v>26</v>
      </c>
      <c r="G16" t="b">
        <v>0</v>
      </c>
      <c r="H16" t="b">
        <v>0</v>
      </c>
      <c r="I16" t="b">
        <v>1</v>
      </c>
      <c r="J16" t="b">
        <v>1</v>
      </c>
      <c r="K16" t="b">
        <v>1</v>
      </c>
      <c r="M16" t="s">
        <v>27</v>
      </c>
      <c r="N16" t="s">
        <v>49</v>
      </c>
      <c r="O16">
        <v>812</v>
      </c>
      <c r="P16" t="s">
        <v>34</v>
      </c>
      <c r="Q16">
        <v>10800</v>
      </c>
      <c r="R16">
        <v>15</v>
      </c>
      <c r="S16">
        <v>118374400</v>
      </c>
      <c r="T16">
        <v>297573681.43680048</v>
      </c>
      <c r="U16">
        <v>618856000</v>
      </c>
      <c r="V16">
        <v>41431040</v>
      </c>
      <c r="W16">
        <v>0</v>
      </c>
    </row>
    <row r="17" spans="1:25" hidden="1" x14ac:dyDescent="0.35">
      <c r="A17" s="1" t="s">
        <v>44</v>
      </c>
      <c r="B17" t="s">
        <v>25</v>
      </c>
      <c r="C17" s="4">
        <v>10.238696336746219</v>
      </c>
      <c r="D17" s="3">
        <v>1075635634.0144</v>
      </c>
      <c r="F17" t="s">
        <v>26</v>
      </c>
      <c r="G17" t="b">
        <v>0</v>
      </c>
      <c r="H17" t="b">
        <v>0</v>
      </c>
      <c r="I17" t="b">
        <v>1</v>
      </c>
      <c r="J17" t="b">
        <v>0</v>
      </c>
      <c r="K17" t="b">
        <v>0</v>
      </c>
      <c r="M17" t="s">
        <v>27</v>
      </c>
      <c r="N17">
        <v>3.638248528394783E-4</v>
      </c>
      <c r="O17">
        <v>812</v>
      </c>
      <c r="Q17">
        <v>10800</v>
      </c>
      <c r="R17">
        <v>16</v>
      </c>
      <c r="S17">
        <v>118374400</v>
      </c>
      <c r="T17">
        <v>296974194.01440048</v>
      </c>
      <c r="U17">
        <v>618856000</v>
      </c>
      <c r="V17">
        <v>41431040</v>
      </c>
      <c r="W17">
        <v>0</v>
      </c>
      <c r="X17">
        <v>0</v>
      </c>
      <c r="Y17">
        <v>1075635634.0144</v>
      </c>
    </row>
    <row r="18" spans="1:25" hidden="1" x14ac:dyDescent="0.35">
      <c r="A18" s="1" t="s">
        <v>45</v>
      </c>
      <c r="B18" t="s">
        <v>25</v>
      </c>
      <c r="C18" s="4">
        <v>2.2219021320343022</v>
      </c>
      <c r="D18" s="3">
        <v>5063283.1500000004</v>
      </c>
      <c r="F18" t="s">
        <v>26</v>
      </c>
      <c r="G18" t="b">
        <v>1</v>
      </c>
      <c r="H18" t="b">
        <v>0</v>
      </c>
      <c r="I18" t="b">
        <v>0</v>
      </c>
      <c r="J18" t="b">
        <v>0</v>
      </c>
      <c r="K18" t="b">
        <v>0</v>
      </c>
      <c r="M18" t="s">
        <v>27</v>
      </c>
      <c r="N18">
        <v>3.638248528394783E-4</v>
      </c>
      <c r="O18">
        <v>812</v>
      </c>
      <c r="P18" t="s">
        <v>28</v>
      </c>
      <c r="Q18">
        <v>10800</v>
      </c>
      <c r="R18">
        <v>20</v>
      </c>
      <c r="S18">
        <v>443904000.00000012</v>
      </c>
      <c r="T18">
        <v>1126374480.5999999</v>
      </c>
      <c r="U18">
        <v>0</v>
      </c>
      <c r="V18">
        <v>0</v>
      </c>
      <c r="W18">
        <v>754358242.25002205</v>
      </c>
      <c r="X18">
        <v>0</v>
      </c>
      <c r="Y18">
        <v>2324636722.8500218</v>
      </c>
    </row>
    <row r="19" spans="1:25" hidden="1" x14ac:dyDescent="0.35">
      <c r="A19" s="1" t="s">
        <v>46</v>
      </c>
      <c r="B19" t="s">
        <v>25</v>
      </c>
      <c r="C19" s="4">
        <v>3608.9248602390289</v>
      </c>
      <c r="D19" s="3">
        <v>2123527303.280839</v>
      </c>
      <c r="F19" t="s">
        <v>26</v>
      </c>
      <c r="G19" t="b">
        <v>1</v>
      </c>
      <c r="H19" t="b">
        <v>0</v>
      </c>
      <c r="I19" t="b">
        <v>0</v>
      </c>
      <c r="J19" t="b">
        <v>0</v>
      </c>
      <c r="K19" t="b">
        <v>0</v>
      </c>
      <c r="M19" t="s">
        <v>27</v>
      </c>
      <c r="N19">
        <v>3.638248528394783E-4</v>
      </c>
      <c r="O19">
        <v>812</v>
      </c>
      <c r="P19" t="s">
        <v>28</v>
      </c>
      <c r="Q19">
        <v>10800</v>
      </c>
      <c r="R19">
        <v>21</v>
      </c>
      <c r="S19">
        <v>162764800</v>
      </c>
      <c r="T19">
        <v>1185388719.2075939</v>
      </c>
      <c r="U19">
        <v>0</v>
      </c>
      <c r="V19">
        <v>0</v>
      </c>
      <c r="W19">
        <v>754358242.25002205</v>
      </c>
      <c r="X19">
        <v>0</v>
      </c>
      <c r="Y19">
        <v>2102511761.4576161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Gabriela Carvalho Freitas</cp:lastModifiedBy>
  <dcterms:created xsi:type="dcterms:W3CDTF">2026-01-07T22:05:41Z</dcterms:created>
  <dcterms:modified xsi:type="dcterms:W3CDTF">2026-01-08T12:35:03Z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004fabd-8c59-4123-b113-9f53485cc1fa_Enabled">
    <vt:lpwstr>true</vt:lpwstr>
  </property>
  <property fmtid="{D5CDD505-2E9C-101B-9397-08002B2CF9AE}" pid="3" name="MSIP_Label_2004fabd-8c59-4123-b113-9f53485cc1fa_SetDate">
    <vt:lpwstr>2026-01-07T22:06:14Z</vt:lpwstr>
  </property>
  <property fmtid="{D5CDD505-2E9C-101B-9397-08002B2CF9AE}" pid="4" name="MSIP_Label_2004fabd-8c59-4123-b113-9f53485cc1fa_Method">
    <vt:lpwstr>Privileged</vt:lpwstr>
  </property>
  <property fmtid="{D5CDD505-2E9C-101B-9397-08002B2CF9AE}" pid="5" name="MSIP_Label_2004fabd-8c59-4123-b113-9f53485cc1fa_Name">
    <vt:lpwstr>Publico</vt:lpwstr>
  </property>
  <property fmtid="{D5CDD505-2E9C-101B-9397-08002B2CF9AE}" pid="6" name="MSIP_Label_2004fabd-8c59-4123-b113-9f53485cc1fa_SiteId">
    <vt:lpwstr>9339fb1c-0944-4fb9-808d-a278e53590e5</vt:lpwstr>
  </property>
  <property fmtid="{D5CDD505-2E9C-101B-9397-08002B2CF9AE}" pid="7" name="MSIP_Label_2004fabd-8c59-4123-b113-9f53485cc1fa_ActionId">
    <vt:lpwstr>1565cf13-827a-4e5f-92a1-34f3a841c777</vt:lpwstr>
  </property>
  <property fmtid="{D5CDD505-2E9C-101B-9397-08002B2CF9AE}" pid="8" name="MSIP_Label_2004fabd-8c59-4123-b113-9f53485cc1fa_ContentBits">
    <vt:lpwstr>0</vt:lpwstr>
  </property>
  <property fmtid="{D5CDD505-2E9C-101B-9397-08002B2CF9AE}" pid="9" name="MSIP_Label_2004fabd-8c59-4123-b113-9f53485cc1fa_Tag">
    <vt:lpwstr>10, 0, 1, 1</vt:lpwstr>
  </property>
</Properties>
</file>